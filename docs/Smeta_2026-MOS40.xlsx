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 объёмов" sheetId="1" state="visible" r:id="rId1"/>
    <sheet name="Смета укрупнённая" sheetId="2" state="visible" r:id="rId2"/>
    <sheet name="Очерёдность" sheetId="3" state="visible" r:id="rId3"/>
    <sheet name="Вариант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CE6E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70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Ведомость объёмов работ. Шифр 2026-МОС40-ИЗ. Объёмы по расчётной модели; уточняются в РД.</t>
        </is>
      </c>
    </row>
    <row r="3">
      <c r="A3" s="2" t="inlineStr">
        <is>
          <t>№</t>
        </is>
      </c>
      <c r="B3" s="2" t="inlineStr">
        <is>
          <t>Раздел</t>
        </is>
      </c>
      <c r="C3" s="2" t="inlineStr">
        <is>
          <t>Наименование работ</t>
        </is>
      </c>
      <c r="D3" s="2" t="inlineStr">
        <is>
          <t>Ед.</t>
        </is>
      </c>
      <c r="E3" s="2" t="inlineStr">
        <is>
          <t>Зона I (42 м)</t>
        </is>
      </c>
      <c r="F3" s="2" t="inlineStr">
        <is>
          <t>Зона II (24 м)</t>
        </is>
      </c>
      <c r="G3" s="2" t="inlineStr">
        <is>
          <t>Зона III (33 м)</t>
        </is>
      </c>
      <c r="H3" s="2" t="inlineStr">
        <is>
          <t>Всего</t>
        </is>
      </c>
    </row>
    <row r="4">
      <c r="A4" s="3" t="n">
        <v>1</v>
      </c>
      <c r="B4" s="3" t="inlineStr">
        <is>
          <t>0. Подготовка</t>
        </is>
      </c>
      <c r="C4" s="3" t="inlineStr">
        <is>
          <t>Доизыскания: ИГИ (4 скв. 25–30 м, CD/CU, CPTU), гидрометеорология, геодезия, обследование</t>
        </is>
      </c>
      <c r="D4" s="3" t="inlineStr">
        <is>
          <t>компл.</t>
        </is>
      </c>
      <c r="E4" s="4" t="n">
        <v>1</v>
      </c>
      <c r="F4" s="4" t="n">
        <v>0</v>
      </c>
      <c r="G4" s="4" t="n">
        <v>0</v>
      </c>
      <c r="H4" s="4">
        <f>SUM(E4:G4)</f>
        <v/>
      </c>
    </row>
    <row r="5">
      <c r="A5" s="3" t="n">
        <v>2</v>
      </c>
      <c r="B5" s="3" t="inlineStr">
        <is>
          <t>0. Подготовка</t>
        </is>
      </c>
      <c r="C5" s="3" t="inlineStr">
        <is>
          <t>Рабочая документация (организация — член СРО), авторский надзор</t>
        </is>
      </c>
      <c r="D5" s="3" t="inlineStr">
        <is>
          <t>компл.</t>
        </is>
      </c>
      <c r="E5" s="4" t="n">
        <v>1</v>
      </c>
      <c r="F5" s="4" t="n">
        <v>0</v>
      </c>
      <c r="G5" s="4" t="n">
        <v>0</v>
      </c>
      <c r="H5" s="4">
        <f>SUM(E5:G5)</f>
        <v/>
      </c>
    </row>
    <row r="6">
      <c r="A6" s="3" t="n">
        <v>3</v>
      </c>
      <c r="B6" s="3" t="inlineStr">
        <is>
          <t>0. Подготовка</t>
        </is>
      </c>
      <c r="C6" s="3" t="inlineStr">
        <is>
          <t>Разрешительная документация (земля, водопользование, Росрыболовство)</t>
        </is>
      </c>
      <c r="D6" s="3" t="inlineStr">
        <is>
          <t>компл.</t>
        </is>
      </c>
      <c r="E6" s="4" t="n">
        <v>1</v>
      </c>
      <c r="F6" s="4" t="n">
        <v>0</v>
      </c>
      <c r="G6" s="4" t="n">
        <v>0</v>
      </c>
      <c r="H6" s="4">
        <f>SUM(E6:G6)</f>
        <v/>
      </c>
    </row>
    <row r="7">
      <c r="A7" s="3" t="n">
        <v>4</v>
      </c>
      <c r="B7" s="3" t="inlineStr">
        <is>
          <t>0. Подготовка</t>
        </is>
      </c>
      <c r="C7" s="3" t="inlineStr">
        <is>
          <t>Мобилизация оборудования струйной цементации, временный съезд и рабочая площадка на склоне</t>
        </is>
      </c>
      <c r="D7" s="3" t="inlineStr">
        <is>
          <t>компл.</t>
        </is>
      </c>
      <c r="E7" s="4" t="n">
        <v>1</v>
      </c>
      <c r="F7" s="4" t="n">
        <v>0.25</v>
      </c>
      <c r="G7" s="4" t="n">
        <v>0.25</v>
      </c>
      <c r="H7" s="4">
        <f>SUM(E7:G7)</f>
        <v/>
      </c>
    </row>
    <row r="8">
      <c r="A8" s="3" t="n">
        <v>5</v>
      </c>
      <c r="B8" s="3" t="inlineStr">
        <is>
          <t>0. Подготовка</t>
        </is>
      </c>
      <c r="C8" s="3" t="inlineStr">
        <is>
          <t>Противоаварийные меры: ограждение, знаки, временный водоотвод</t>
        </is>
      </c>
      <c r="D8" s="3" t="inlineStr">
        <is>
          <t>компл.</t>
        </is>
      </c>
      <c r="E8" s="4" t="n">
        <v>1</v>
      </c>
      <c r="F8" s="4" t="n">
        <v>0</v>
      </c>
      <c r="G8" s="4" t="n">
        <v>0</v>
      </c>
      <c r="H8" s="4">
        <f>SUM(E8:G8)</f>
        <v/>
      </c>
    </row>
    <row r="9">
      <c r="A9" s="3" t="n">
        <v>6</v>
      </c>
      <c r="B9" s="3" t="inlineStr">
        <is>
          <t>1. Демонтаж</t>
        </is>
      </c>
      <c r="C9" s="3" t="inlineStr">
        <is>
          <t>Демонтаж обзорной площадки (металлокаркас ≈ 8 т, настил)</t>
        </is>
      </c>
      <c r="D9" s="3" t="inlineStr">
        <is>
          <t>компл.</t>
        </is>
      </c>
      <c r="E9" s="4" t="n">
        <v>1</v>
      </c>
      <c r="F9" s="4" t="n">
        <v>0</v>
      </c>
      <c r="G9" s="4" t="n">
        <v>0</v>
      </c>
      <c r="H9" s="4">
        <f>SUM(E9:G9)</f>
        <v/>
      </c>
    </row>
    <row r="10">
      <c r="A10" s="3" t="n">
        <v>7</v>
      </c>
      <c r="B10" s="3" t="inlineStr">
        <is>
          <t>1. Демонтаж</t>
        </is>
      </c>
      <c r="C10" s="3" t="inlineStr">
        <is>
          <t>Разборка ж/б стен W1–W4, бордюров с вывозом</t>
        </is>
      </c>
      <c r="D10" s="3" t="inlineStr">
        <is>
          <t>м³</t>
        </is>
      </c>
      <c r="E10" s="4" t="n">
        <v>33</v>
      </c>
      <c r="F10" s="4" t="n">
        <v>6</v>
      </c>
      <c r="G10" s="4" t="n">
        <v>10</v>
      </c>
      <c r="H10" s="4">
        <f>SUM(E10:G10)</f>
        <v/>
      </c>
    </row>
    <row r="11">
      <c r="A11" s="3" t="n">
        <v>8</v>
      </c>
      <c r="B11" s="3" t="inlineStr">
        <is>
          <t>2. Земляные работы</t>
        </is>
      </c>
      <c r="C11" s="3" t="inlineStr">
        <is>
          <t>Срезка грунта на склоне с вывозом за пределы водоохранной зоны</t>
        </is>
      </c>
      <c r="D11" s="3" t="inlineStr">
        <is>
          <t>м³</t>
        </is>
      </c>
      <c r="E11" s="4" t="n">
        <v>774.6</v>
      </c>
      <c r="F11" s="4" t="n">
        <v>160.8</v>
      </c>
      <c r="G11" s="4" t="n">
        <v>211.2</v>
      </c>
      <c r="H11" s="4">
        <f>SUM(E11:G11)</f>
        <v/>
      </c>
    </row>
    <row r="12">
      <c r="A12" s="3" t="n">
        <v>9</v>
      </c>
      <c r="B12" s="3" t="inlineStr">
        <is>
          <t>2. Земляные работы</t>
        </is>
      </c>
      <c r="C12" s="3" t="inlineStr">
        <is>
          <t>Подсыпка бермы с уплотнением Kcom ≥ 0,95</t>
        </is>
      </c>
      <c r="D12" s="3" t="inlineStr">
        <is>
          <t>м³</t>
        </is>
      </c>
      <c r="E12" s="4" t="n">
        <v>213</v>
      </c>
      <c r="F12" s="4" t="n">
        <v>26.4</v>
      </c>
      <c r="G12" s="4" t="n">
        <v>171.6</v>
      </c>
      <c r="H12" s="4">
        <f>SUM(E12:G12)</f>
        <v/>
      </c>
    </row>
    <row r="13">
      <c r="A13" s="3" t="n">
        <v>10</v>
      </c>
      <c r="B13" s="3" t="inlineStr">
        <is>
          <t>3. Грунтоцементные рёбра</t>
        </is>
      </c>
      <c r="C13" s="3" t="inlineStr">
        <is>
          <t>Колонны струйной цементации Jet-2 Ø1,0 м (с цементом, вывоз шлама)</t>
        </is>
      </c>
      <c r="D13" s="3" t="inlineStr">
        <is>
          <t>п. м</t>
        </is>
      </c>
      <c r="E13" s="4" t="n">
        <v>2608</v>
      </c>
      <c r="F13" s="4" t="n">
        <v>1473</v>
      </c>
      <c r="G13" s="4" t="n">
        <v>1915</v>
      </c>
      <c r="H13" s="4">
        <f>SUM(E13:G13)</f>
        <v/>
      </c>
    </row>
    <row r="14">
      <c r="A14" s="3" t="n">
        <v>11</v>
      </c>
      <c r="B14" s="3" t="inlineStr">
        <is>
          <t>3. Грунтоцементные рёбра</t>
        </is>
      </c>
      <c r="C14" s="3" t="inlineStr">
        <is>
          <t>Пробные колонны (3 шт.), откопка, кернение, испытания</t>
        </is>
      </c>
      <c r="D14" s="3" t="inlineStr">
        <is>
          <t>компл.</t>
        </is>
      </c>
      <c r="E14" s="4" t="n">
        <v>1</v>
      </c>
      <c r="F14" s="4" t="n">
        <v>0</v>
      </c>
      <c r="G14" s="4" t="n">
        <v>0</v>
      </c>
      <c r="H14" s="4">
        <f>SUM(E14:G14)</f>
        <v/>
      </c>
    </row>
    <row r="15">
      <c r="A15" s="3" t="n">
        <v>12</v>
      </c>
      <c r="B15" s="3" t="inlineStr">
        <is>
          <t>3. Грунтоцементные рёбра</t>
        </is>
      </c>
      <c r="C15" s="3" t="inlineStr">
        <is>
          <t>Армирование трубой 146×8 (поставка и погружение)</t>
        </is>
      </c>
      <c r="D15" s="3" t="inlineStr">
        <is>
          <t>т</t>
        </is>
      </c>
      <c r="E15" s="4" t="n">
        <v>40.09</v>
      </c>
      <c r="F15" s="4" t="n">
        <v>22.64</v>
      </c>
      <c r="G15" s="4" t="n">
        <v>29.42</v>
      </c>
      <c r="H15" s="4">
        <f>SUM(E15:G15)</f>
        <v/>
      </c>
    </row>
    <row r="16">
      <c r="A16" s="3" t="n">
        <v>13</v>
      </c>
      <c r="B16" s="3" t="inlineStr">
        <is>
          <t>3. Грунтоцементные рёбра</t>
        </is>
      </c>
      <c r="C16" s="3" t="inlineStr">
        <is>
          <t>Контроль качества: керн 2 % колонн, лаборатория</t>
        </is>
      </c>
      <c r="D16" s="3" t="inlineStr">
        <is>
          <t>компл.</t>
        </is>
      </c>
      <c r="E16" s="4" t="n">
        <v>0.42</v>
      </c>
      <c r="F16" s="4" t="n">
        <v>0.25</v>
      </c>
      <c r="G16" s="4" t="n">
        <v>0.33</v>
      </c>
      <c r="H16" s="4">
        <f>SUM(E16:G16)</f>
        <v/>
      </c>
    </row>
    <row r="17">
      <c r="A17" s="3" t="n">
        <v>14</v>
      </c>
      <c r="B17" s="3" t="inlineStr">
        <is>
          <t>4. Балка</t>
        </is>
      </c>
      <c r="C17" s="3" t="inlineStr">
        <is>
          <t>Обвязочная ж/б балка 1,0×0,6 м B30 (арматура, опалубка)</t>
        </is>
      </c>
      <c r="D17" s="3" t="inlineStr">
        <is>
          <t>м³</t>
        </is>
      </c>
      <c r="E17" s="4" t="n">
        <v>25.2</v>
      </c>
      <c r="F17" s="4" t="n">
        <v>14.4</v>
      </c>
      <c r="G17" s="4" t="n">
        <v>19.8</v>
      </c>
      <c r="H17" s="4">
        <f>SUM(E17:G17)</f>
        <v/>
      </c>
    </row>
    <row r="18">
      <c r="A18" s="3" t="n">
        <v>15</v>
      </c>
      <c r="B18" s="3" t="inlineStr">
        <is>
          <t>5. Габионы и крепление</t>
        </is>
      </c>
      <c r="C18" s="3" t="inlineStr">
        <is>
          <t>Габионы коробчатые с камнем, сетка Zn-Al+ПВХ</t>
        </is>
      </c>
      <c r="D18" s="3" t="inlineStr">
        <is>
          <t>м³</t>
        </is>
      </c>
      <c r="E18" s="4" t="n">
        <v>279.72</v>
      </c>
      <c r="F18" s="4" t="n">
        <v>140.16</v>
      </c>
      <c r="G18" s="4" t="n">
        <v>190.74</v>
      </c>
      <c r="H18" s="4">
        <f>SUM(E18:G18)</f>
        <v/>
      </c>
    </row>
    <row r="19">
      <c r="A19" s="3" t="n">
        <v>16</v>
      </c>
      <c r="B19" s="3" t="inlineStr">
        <is>
          <t>5. Габионы и крепление</t>
        </is>
      </c>
      <c r="C19" s="3" t="inlineStr">
        <is>
          <t>Матрацы Рено 0,3 м на геотекстиле (вкл. подводную часть, фартук)</t>
        </is>
      </c>
      <c r="D19" s="3" t="inlineStr">
        <is>
          <t>м²</t>
        </is>
      </c>
      <c r="E19" s="4" t="n">
        <v>423.6</v>
      </c>
      <c r="F19" s="4" t="n">
        <v>288</v>
      </c>
      <c r="G19" s="4" t="n">
        <v>405.9</v>
      </c>
      <c r="H19" s="4">
        <f>SUM(E19:G19)</f>
        <v/>
      </c>
    </row>
    <row r="20">
      <c r="A20" s="3" t="n">
        <v>17</v>
      </c>
      <c r="B20" s="3" t="inlineStr">
        <is>
          <t>5. Габионы и крепление</t>
        </is>
      </c>
      <c r="C20" s="3" t="inlineStr">
        <is>
          <t>Щебёночная подушка, дренирующая засыпка за габионами с дреной Ø110</t>
        </is>
      </c>
      <c r="D20" s="3" t="inlineStr">
        <is>
          <t>п. м</t>
        </is>
      </c>
      <c r="E20" s="4" t="n">
        <v>42</v>
      </c>
      <c r="F20" s="4" t="n">
        <v>24</v>
      </c>
      <c r="G20" s="4" t="n">
        <v>33</v>
      </c>
      <c r="H20" s="4">
        <f>SUM(E20:G20)</f>
        <v/>
      </c>
    </row>
    <row r="21">
      <c r="A21" s="3" t="n">
        <v>18</v>
      </c>
      <c r="B21" s="3" t="inlineStr">
        <is>
          <t>6. Дренаж</t>
        </is>
      </c>
      <c r="C21" s="3" t="inlineStr">
        <is>
          <t>Перехватывающий дренаж Д-1 (траншея 3,2 м, щебень, труба Ø160)</t>
        </is>
      </c>
      <c r="D21" s="3" t="inlineStr">
        <is>
          <t>п. м</t>
        </is>
      </c>
      <c r="E21" s="4" t="n">
        <v>42</v>
      </c>
      <c r="F21" s="4" t="n">
        <v>34</v>
      </c>
      <c r="G21" s="4" t="n">
        <v>26</v>
      </c>
      <c r="H21" s="4">
        <f>SUM(E21:G21)</f>
        <v/>
      </c>
    </row>
    <row r="22">
      <c r="A22" s="3" t="n">
        <v>19</v>
      </c>
      <c r="B22" s="3" t="inlineStr">
        <is>
          <t>6. Дренаж</t>
        </is>
      </c>
      <c r="C22" s="3" t="inlineStr">
        <is>
          <t>Колодцы ДК Ø1000 полимерные</t>
        </is>
      </c>
      <c r="D22" s="3" t="inlineStr">
        <is>
          <t>шт.</t>
        </is>
      </c>
      <c r="E22" s="4" t="n">
        <v>2</v>
      </c>
      <c r="F22" s="4" t="n">
        <v>2</v>
      </c>
      <c r="G22" s="4" t="n">
        <v>1</v>
      </c>
      <c r="H22" s="4">
        <f>SUM(E22:G22)</f>
        <v/>
      </c>
    </row>
    <row r="23">
      <c r="A23" s="3" t="n">
        <v>20</v>
      </c>
      <c r="B23" s="3" t="inlineStr">
        <is>
          <t>6. Дренаж</t>
        </is>
      </c>
      <c r="C23" s="3" t="inlineStr">
        <is>
          <t>Выпуски ПНД Ø160–200 с оголовками</t>
        </is>
      </c>
      <c r="D23" s="3" t="inlineStr">
        <is>
          <t>шт.</t>
        </is>
      </c>
      <c r="E23" s="4" t="n">
        <v>1</v>
      </c>
      <c r="F23" s="4" t="n">
        <v>1</v>
      </c>
      <c r="G23" s="4" t="n">
        <v>1</v>
      </c>
      <c r="H23" s="4">
        <f>SUM(E23:G23)</f>
        <v/>
      </c>
    </row>
    <row r="24">
      <c r="A24" s="3" t="n">
        <v>21</v>
      </c>
      <c r="B24" s="3" t="inlineStr">
        <is>
          <t>6. Дренаж</t>
        </is>
      </c>
      <c r="C24" s="3" t="inlineStr">
        <is>
          <t>Горизонтальные дренажные скважины Ø108, L = 15,5 м</t>
        </is>
      </c>
      <c r="D24" s="3" t="inlineStr">
        <is>
          <t>п. м</t>
        </is>
      </c>
      <c r="E24" s="4" t="n">
        <v>527</v>
      </c>
      <c r="F24" s="4" t="n">
        <v>310</v>
      </c>
      <c r="G24" s="4" t="n">
        <v>403</v>
      </c>
      <c r="H24" s="4">
        <f>SUM(E24:G24)</f>
        <v/>
      </c>
    </row>
    <row r="25">
      <c r="A25" s="3" t="n">
        <v>22</v>
      </c>
      <c r="B25" s="3" t="inlineStr">
        <is>
          <t>7. Водоотвод</t>
        </is>
      </c>
      <c r="C25" s="3" t="inlineStr">
        <is>
          <t>Лоток DN200 с решётками по бровке, подключение водостоков</t>
        </is>
      </c>
      <c r="D25" s="3" t="inlineStr">
        <is>
          <t>п. м</t>
        </is>
      </c>
      <c r="E25" s="4" t="n">
        <v>42</v>
      </c>
      <c r="F25" s="4" t="n">
        <v>34</v>
      </c>
      <c r="G25" s="4" t="n">
        <v>26</v>
      </c>
      <c r="H25" s="4">
        <f>SUM(E25:G25)</f>
        <v/>
      </c>
    </row>
    <row r="26">
      <c r="A26" s="3" t="n">
        <v>23</v>
      </c>
      <c r="B26" s="3" t="inlineStr">
        <is>
          <t>8. Откосы</t>
        </is>
      </c>
      <c r="C26" s="3" t="inlineStr">
        <is>
          <t>Объёмная георешётка h = 150 мм, анкеры, растительный грунт, посев</t>
        </is>
      </c>
      <c r="D26" s="3" t="inlineStr">
        <is>
          <t>м²</t>
        </is>
      </c>
      <c r="E26" s="4" t="n">
        <v>410.4</v>
      </c>
      <c r="F26" s="4" t="n">
        <v>218.4</v>
      </c>
      <c r="G26" s="4" t="n">
        <v>310.2</v>
      </c>
      <c r="H26" s="4">
        <f>SUM(E26:G26)</f>
        <v/>
      </c>
    </row>
    <row r="27">
      <c r="A27" s="3" t="n">
        <v>24</v>
      </c>
      <c r="B27" s="3" t="inlineStr">
        <is>
          <t>8. Откосы</t>
        </is>
      </c>
      <c r="C27" s="3" t="inlineStr">
        <is>
          <t>Посадка кустарника (ива, кизильник, спирея)</t>
        </is>
      </c>
      <c r="D27" s="3" t="inlineStr">
        <is>
          <t>шт.</t>
        </is>
      </c>
      <c r="E27" s="4" t="n">
        <v>63</v>
      </c>
      <c r="F27" s="4" t="n">
        <v>36</v>
      </c>
      <c r="G27" s="4" t="n">
        <v>49.5</v>
      </c>
      <c r="H27" s="4">
        <f>SUM(E27:G27)</f>
        <v/>
      </c>
    </row>
    <row r="28">
      <c r="A28" s="3" t="n">
        <v>25</v>
      </c>
      <c r="B28" s="3" t="inlineStr">
        <is>
          <t>9. Благоустройство</t>
        </is>
      </c>
      <c r="C28" s="3" t="inlineStr">
        <is>
          <t>Лестница металлическая на винтовых сваях с площадками</t>
        </is>
      </c>
      <c r="D28" s="3" t="inlineStr">
        <is>
          <t>компл.</t>
        </is>
      </c>
      <c r="E28" s="4" t="n">
        <v>1</v>
      </c>
      <c r="F28" s="4" t="n">
        <v>0</v>
      </c>
      <c r="G28" s="4" t="n">
        <v>0</v>
      </c>
      <c r="H28" s="4">
        <f>SUM(E28:G28)</f>
        <v/>
      </c>
    </row>
    <row r="29">
      <c r="A29" s="3" t="n">
        <v>26</v>
      </c>
      <c r="B29" s="3" t="inlineStr">
        <is>
          <t>10. Мониторинг</t>
        </is>
      </c>
      <c r="C29" s="3" t="inlineStr">
        <is>
          <t>Инклинометрические скважины 22 м</t>
        </is>
      </c>
      <c r="D29" s="3" t="inlineStr">
        <is>
          <t>шт.</t>
        </is>
      </c>
      <c r="E29" s="4" t="n">
        <v>3</v>
      </c>
      <c r="F29" s="4" t="n">
        <v>1</v>
      </c>
      <c r="G29" s="4" t="n">
        <v>1</v>
      </c>
      <c r="H29" s="4">
        <f>SUM(E29:G29)</f>
        <v/>
      </c>
    </row>
    <row r="30">
      <c r="A30" s="3" t="n">
        <v>27</v>
      </c>
      <c r="B30" s="3" t="inlineStr">
        <is>
          <t>10. Мониторинг</t>
        </is>
      </c>
      <c r="C30" s="3" t="inlineStr">
        <is>
          <t>Пьезометры</t>
        </is>
      </c>
      <c r="D30" s="3" t="inlineStr">
        <is>
          <t>шт.</t>
        </is>
      </c>
      <c r="E30" s="4" t="n">
        <v>2</v>
      </c>
      <c r="F30" s="4" t="n">
        <v>1</v>
      </c>
      <c r="G30" s="4" t="n">
        <v>1</v>
      </c>
      <c r="H30" s="4">
        <f>SUM(E30:G30)</f>
        <v/>
      </c>
    </row>
    <row r="31">
      <c r="A31" s="3" t="n">
        <v>28</v>
      </c>
      <c r="B31" s="3" t="inlineStr">
        <is>
          <t>10. Мониторинг</t>
        </is>
      </c>
      <c r="C31" s="3" t="inlineStr">
        <is>
          <t>Наблюдения и отчёты (строительство + 2 года)</t>
        </is>
      </c>
      <c r="D31" s="3" t="inlineStr">
        <is>
          <t>компл.</t>
        </is>
      </c>
      <c r="E31" s="4" t="n">
        <v>0.6</v>
      </c>
      <c r="F31" s="4" t="n">
        <v>0.2</v>
      </c>
      <c r="G31" s="4" t="n">
        <v>0.2</v>
      </c>
      <c r="H31" s="4">
        <f>SUM(E31:G31)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2" customWidth="1" min="3" max="3"/>
    <col width="7" customWidth="1" min="4" max="4"/>
    <col width="12" customWidth="1" min="5" max="5"/>
    <col width="11" customWidth="1" min="6" max="6"/>
    <col width="11" customWidth="1" min="7" max="7"/>
    <col width="14" customWidth="1" min="8" max="8"/>
    <col width="14" customWidth="1" min="9" max="9"/>
    <col width="14" customWidth="1" min="10" max="10"/>
    <col width="14" customWidth="1" min="11" max="11"/>
    <col width="24" customWidth="1" min="12" max="12"/>
  </cols>
  <sheetData>
    <row r="1">
      <c r="A1" s="1" t="inlineStr">
        <is>
          <t>Укрупнённый расчёт стоимости (ориентировочно), руб., цены IV кв. 2026 г., без НДС. Точность ±30 %.</t>
        </is>
      </c>
    </row>
    <row r="2">
      <c r="A2" t="inlineStr">
        <is>
          <t>Расценки — по открытым рыночным данным 2025–2026 гг. и расчёту по материалоёмкости (см. «Обоснование стоимости»); перед договорами — КП подрядчиков.</t>
        </is>
      </c>
    </row>
    <row r="3">
      <c r="A3" s="2" t="inlineStr">
        <is>
          <t>№</t>
        </is>
      </c>
      <c r="B3" s="2" t="inlineStr">
        <is>
          <t>Раздел</t>
        </is>
      </c>
      <c r="C3" s="2" t="inlineStr">
        <is>
          <t>Наименование</t>
        </is>
      </c>
      <c r="D3" s="2" t="inlineStr">
        <is>
          <t>Ед.</t>
        </is>
      </c>
      <c r="E3" s="2" t="inlineStr">
        <is>
          <t>Кол-во всего</t>
        </is>
      </c>
      <c r="F3" s="2" t="inlineStr">
        <is>
          <t>Цена мин</t>
        </is>
      </c>
      <c r="G3" s="2" t="inlineStr">
        <is>
          <t>Цена макс</t>
        </is>
      </c>
      <c r="H3" s="2" t="inlineStr">
        <is>
          <t>Сумма мин</t>
        </is>
      </c>
      <c r="I3" s="2" t="inlineStr">
        <is>
          <t>Сумма макс</t>
        </is>
      </c>
      <c r="J3" s="2" t="inlineStr">
        <is>
          <t>Зона I мин</t>
        </is>
      </c>
      <c r="K3" s="2" t="inlineStr">
        <is>
          <t>Зона I макс</t>
        </is>
      </c>
      <c r="L3" s="2" t="inlineStr">
        <is>
          <t>Примечание</t>
        </is>
      </c>
    </row>
    <row r="4">
      <c r="A4" s="3" t="n">
        <v>1</v>
      </c>
      <c r="B4" s="3" t="inlineStr">
        <is>
          <t>0. Подготовка</t>
        </is>
      </c>
      <c r="C4" s="3" t="inlineStr">
        <is>
          <t>Доизыскания: ИГИ (4 скв. 25–30 м, CD/CU, CPTU), гидрометеорология, геодезия, обследование</t>
        </is>
      </c>
      <c r="D4" s="3" t="inlineStr">
        <is>
          <t>компл.</t>
        </is>
      </c>
      <c r="E4" s="5">
        <f>'Ведомость объёмов'!H4</f>
        <v/>
      </c>
      <c r="F4" s="5" t="n">
        <v>1500000</v>
      </c>
      <c r="G4" s="5" t="n">
        <v>2500000</v>
      </c>
      <c r="H4" s="5">
        <f>E4*F4</f>
        <v/>
      </c>
      <c r="I4" s="5">
        <f>E4*G4</f>
        <v/>
      </c>
      <c r="J4" s="5">
        <f>'Ведомость объёмов'!E4*F4</f>
        <v/>
      </c>
      <c r="K4" s="5">
        <f>'Ведомость объёмов'!E4*G4</f>
        <v/>
      </c>
      <c r="L4" s="3" t="inlineStr">
        <is>
          <t>раздел 15 ПЗ</t>
        </is>
      </c>
    </row>
    <row r="5">
      <c r="A5" s="3" t="n">
        <v>2</v>
      </c>
      <c r="B5" s="3" t="inlineStr">
        <is>
          <t>0. Подготовка</t>
        </is>
      </c>
      <c r="C5" s="3" t="inlineStr">
        <is>
          <t>Рабочая документация (организация — член СРО), авторский надзор</t>
        </is>
      </c>
      <c r="D5" s="3" t="inlineStr">
        <is>
          <t>компл.</t>
        </is>
      </c>
      <c r="E5" s="5">
        <f>'Ведомость объёмов'!H5</f>
        <v/>
      </c>
      <c r="F5" s="5" t="n">
        <v>2500000</v>
      </c>
      <c r="G5" s="5" t="n">
        <v>4000000</v>
      </c>
      <c r="H5" s="5">
        <f>E5*F5</f>
        <v/>
      </c>
      <c r="I5" s="5">
        <f>E5*G5</f>
        <v/>
      </c>
      <c r="J5" s="5">
        <f>'Ведомость объёмов'!E5*F5</f>
        <v/>
      </c>
      <c r="K5" s="5">
        <f>'Ведомость объёмов'!E5*G5</f>
        <v/>
      </c>
      <c r="L5" s="3" t="inlineStr">
        <is>
          <t>≈ 3–5 % стоимости работ</t>
        </is>
      </c>
    </row>
    <row r="6">
      <c r="A6" s="3" t="n">
        <v>3</v>
      </c>
      <c r="B6" s="3" t="inlineStr">
        <is>
          <t>0. Подготовка</t>
        </is>
      </c>
      <c r="C6" s="3" t="inlineStr">
        <is>
          <t>Разрешительная документация (земля, водопользование, Росрыболовство)</t>
        </is>
      </c>
      <c r="D6" s="3" t="inlineStr">
        <is>
          <t>компл.</t>
        </is>
      </c>
      <c r="E6" s="5">
        <f>'Ведомость объёмов'!H6</f>
        <v/>
      </c>
      <c r="F6" s="5" t="n">
        <v>300000</v>
      </c>
      <c r="G6" s="5" t="n">
        <v>900000</v>
      </c>
      <c r="H6" s="5">
        <f>E6*F6</f>
        <v/>
      </c>
      <c r="I6" s="5">
        <f>E6*G6</f>
        <v/>
      </c>
      <c r="J6" s="5">
        <f>'Ведомость объёмов'!E6*F6</f>
        <v/>
      </c>
      <c r="K6" s="5">
        <f>'Ведомость объёмов'!E6*G6</f>
        <v/>
      </c>
      <c r="L6" s="3" t="inlineStr">
        <is>
          <t>раздел 13 ПЗ</t>
        </is>
      </c>
    </row>
    <row r="7">
      <c r="A7" s="3" t="n">
        <v>4</v>
      </c>
      <c r="B7" s="3" t="inlineStr">
        <is>
          <t>0. Подготовка</t>
        </is>
      </c>
      <c r="C7" s="3" t="inlineStr">
        <is>
          <t>Мобилизация оборудования струйной цементации, временный съезд и рабочая площадка на склоне</t>
        </is>
      </c>
      <c r="D7" s="3" t="inlineStr">
        <is>
          <t>компл.</t>
        </is>
      </c>
      <c r="E7" s="5">
        <f>'Ведомость объёмов'!H7</f>
        <v/>
      </c>
      <c r="F7" s="5" t="n">
        <v>1500000</v>
      </c>
      <c r="G7" s="5" t="n">
        <v>3000000</v>
      </c>
      <c r="H7" s="5">
        <f>E7*F7</f>
        <v/>
      </c>
      <c r="I7" s="5">
        <f>E7*G7</f>
        <v/>
      </c>
      <c r="J7" s="5">
        <f>'Ведомость объёмов'!E7*F7</f>
        <v/>
      </c>
      <c r="K7" s="5">
        <f>'Ведомость объёмов'!E7*G7</f>
        <v/>
      </c>
      <c r="L7" s="3" t="inlineStr">
        <is>
          <t>зоны II–III — 25 %</t>
        </is>
      </c>
    </row>
    <row r="8">
      <c r="A8" s="3" t="n">
        <v>5</v>
      </c>
      <c r="B8" s="3" t="inlineStr">
        <is>
          <t>0. Подготовка</t>
        </is>
      </c>
      <c r="C8" s="3" t="inlineStr">
        <is>
          <t>Противоаварийные меры: ограждение, знаки, временный водоотвод</t>
        </is>
      </c>
      <c r="D8" s="3" t="inlineStr">
        <is>
          <t>компл.</t>
        </is>
      </c>
      <c r="E8" s="5">
        <f>'Ведомость объёмов'!H8</f>
        <v/>
      </c>
      <c r="F8" s="5" t="n">
        <v>250000</v>
      </c>
      <c r="G8" s="5" t="n">
        <v>500000</v>
      </c>
      <c r="H8" s="5">
        <f>E8*F8</f>
        <v/>
      </c>
      <c r="I8" s="5">
        <f>E8*G8</f>
        <v/>
      </c>
      <c r="J8" s="5">
        <f>'Ведомость объёмов'!E8*F8</f>
        <v/>
      </c>
      <c r="K8" s="5">
        <f>'Ведомость объёмов'!E8*G8</f>
        <v/>
      </c>
      <c r="L8" s="3" t="inlineStr"/>
    </row>
    <row r="9">
      <c r="A9" s="3" t="n">
        <v>6</v>
      </c>
      <c r="B9" s="3" t="inlineStr">
        <is>
          <t>1. Демонтаж</t>
        </is>
      </c>
      <c r="C9" s="3" t="inlineStr">
        <is>
          <t>Демонтаж обзорной площадки (металлокаркас ≈ 8 т, настил)</t>
        </is>
      </c>
      <c r="D9" s="3" t="inlineStr">
        <is>
          <t>компл.</t>
        </is>
      </c>
      <c r="E9" s="5">
        <f>'Ведомость объёмов'!H9</f>
        <v/>
      </c>
      <c r="F9" s="5" t="n">
        <v>300000</v>
      </c>
      <c r="G9" s="5" t="n">
        <v>600000</v>
      </c>
      <c r="H9" s="5">
        <f>E9*F9</f>
        <v/>
      </c>
      <c r="I9" s="5">
        <f>E9*G9</f>
        <v/>
      </c>
      <c r="J9" s="5">
        <f>'Ведомость объёмов'!E9*F9</f>
        <v/>
      </c>
      <c r="K9" s="5">
        <f>'Ведомость объёмов'!E9*G9</f>
        <v/>
      </c>
      <c r="L9" s="3" t="inlineStr"/>
    </row>
    <row r="10">
      <c r="A10" s="3" t="n">
        <v>7</v>
      </c>
      <c r="B10" s="3" t="inlineStr">
        <is>
          <t>1. Демонтаж</t>
        </is>
      </c>
      <c r="C10" s="3" t="inlineStr">
        <is>
          <t>Разборка ж/б стен W1–W4, бордюров с вывозом</t>
        </is>
      </c>
      <c r="D10" s="3" t="inlineStr">
        <is>
          <t>м³</t>
        </is>
      </c>
      <c r="E10" s="5">
        <f>'Ведомость объёмов'!H10</f>
        <v/>
      </c>
      <c r="F10" s="5" t="n">
        <v>7000</v>
      </c>
      <c r="G10" s="5" t="n">
        <v>12000</v>
      </c>
      <c r="H10" s="5">
        <f>E10*F10</f>
        <v/>
      </c>
      <c r="I10" s="5">
        <f>E10*G10</f>
        <v/>
      </c>
      <c r="J10" s="5">
        <f>'Ведомость объёмов'!E10*F10</f>
        <v/>
      </c>
      <c r="K10" s="5">
        <f>'Ведомость объёмов'!E10*G10</f>
        <v/>
      </c>
      <c r="L10" s="3" t="inlineStr"/>
    </row>
    <row r="11">
      <c r="A11" s="3" t="n">
        <v>8</v>
      </c>
      <c r="B11" s="3" t="inlineStr">
        <is>
          <t>2. Земляные работы</t>
        </is>
      </c>
      <c r="C11" s="3" t="inlineStr">
        <is>
          <t>Срезка грунта на склоне с вывозом за пределы водоохранной зоны</t>
        </is>
      </c>
      <c r="D11" s="3" t="inlineStr">
        <is>
          <t>м³</t>
        </is>
      </c>
      <c r="E11" s="5">
        <f>'Ведомость объёмов'!H11</f>
        <v/>
      </c>
      <c r="F11" s="5" t="n">
        <v>900</v>
      </c>
      <c r="G11" s="5" t="n">
        <v>1500</v>
      </c>
      <c r="H11" s="5">
        <f>E11*F11</f>
        <v/>
      </c>
      <c r="I11" s="5">
        <f>E11*G11</f>
        <v/>
      </c>
      <c r="J11" s="5">
        <f>'Ведомость объёмов'!E11*F11</f>
        <v/>
      </c>
      <c r="K11" s="5">
        <f>'Ведомость объёмов'!E11*G11</f>
        <v/>
      </c>
      <c r="L11" s="3" t="inlineStr"/>
    </row>
    <row r="12">
      <c r="A12" s="3" t="n">
        <v>9</v>
      </c>
      <c r="B12" s="3" t="inlineStr">
        <is>
          <t>2. Земляные работы</t>
        </is>
      </c>
      <c r="C12" s="3" t="inlineStr">
        <is>
          <t>Подсыпка бермы с уплотнением Kcom ≥ 0,95</t>
        </is>
      </c>
      <c r="D12" s="3" t="inlineStr">
        <is>
          <t>м³</t>
        </is>
      </c>
      <c r="E12" s="5">
        <f>'Ведомость объёмов'!H12</f>
        <v/>
      </c>
      <c r="F12" s="5" t="n">
        <v>600</v>
      </c>
      <c r="G12" s="5" t="n">
        <v>1000</v>
      </c>
      <c r="H12" s="5">
        <f>E12*F12</f>
        <v/>
      </c>
      <c r="I12" s="5">
        <f>E12*G12</f>
        <v/>
      </c>
      <c r="J12" s="5">
        <f>'Ведомость объёмов'!E12*F12</f>
        <v/>
      </c>
      <c r="K12" s="5">
        <f>'Ведомость объёмов'!E12*G12</f>
        <v/>
      </c>
      <c r="L12" s="3" t="inlineStr"/>
    </row>
    <row r="13">
      <c r="A13" s="3" t="n">
        <v>10</v>
      </c>
      <c r="B13" s="3" t="inlineStr">
        <is>
          <t>3. Грунтоцементные рёбра</t>
        </is>
      </c>
      <c r="C13" s="3" t="inlineStr">
        <is>
          <t>Колонны струйной цементации Jet-2 Ø1,0 м (с цементом, вывоз шлама)</t>
        </is>
      </c>
      <c r="D13" s="3" t="inlineStr">
        <is>
          <t>п. м</t>
        </is>
      </c>
      <c r="E13" s="5">
        <f>'Ведомость объёмов'!H13</f>
        <v/>
      </c>
      <c r="F13" s="5" t="n">
        <v>6500</v>
      </c>
      <c r="G13" s="5" t="n">
        <v>10500</v>
      </c>
      <c r="H13" s="5">
        <f>E13*F13</f>
        <v/>
      </c>
      <c r="I13" s="5">
        <f>E13*G13</f>
        <v/>
      </c>
      <c r="J13" s="5">
        <f>'Ведомость объёмов'!E13*F13</f>
        <v/>
      </c>
      <c r="K13" s="5">
        <f>'Ведомость объёмов'!E13*G13</f>
        <v/>
      </c>
      <c r="L13" s="3" t="inlineStr">
        <is>
          <t>главная статья</t>
        </is>
      </c>
    </row>
    <row r="14">
      <c r="A14" s="3" t="n">
        <v>11</v>
      </c>
      <c r="B14" s="3" t="inlineStr">
        <is>
          <t>3. Грунтоцементные рёбра</t>
        </is>
      </c>
      <c r="C14" s="3" t="inlineStr">
        <is>
          <t>Пробные колонны (3 шт.), откопка, кернение, испытания</t>
        </is>
      </c>
      <c r="D14" s="3" t="inlineStr">
        <is>
          <t>компл.</t>
        </is>
      </c>
      <c r="E14" s="5">
        <f>'Ведомость объёмов'!H14</f>
        <v/>
      </c>
      <c r="F14" s="5" t="n">
        <v>600000</v>
      </c>
      <c r="G14" s="5" t="n">
        <v>1000000</v>
      </c>
      <c r="H14" s="5">
        <f>E14*F14</f>
        <v/>
      </c>
      <c r="I14" s="5">
        <f>E14*G14</f>
        <v/>
      </c>
      <c r="J14" s="5">
        <f>'Ведомость объёмов'!E14*F14</f>
        <v/>
      </c>
      <c r="K14" s="5">
        <f>'Ведомость объёмов'!E14*G14</f>
        <v/>
      </c>
      <c r="L14" s="3" t="inlineStr"/>
    </row>
    <row r="15">
      <c r="A15" s="3" t="n">
        <v>12</v>
      </c>
      <c r="B15" s="3" t="inlineStr">
        <is>
          <t>3. Грунтоцементные рёбра</t>
        </is>
      </c>
      <c r="C15" s="3" t="inlineStr">
        <is>
          <t>Армирование трубой 146×8 (поставка и погружение)</t>
        </is>
      </c>
      <c r="D15" s="3" t="inlineStr">
        <is>
          <t>т</t>
        </is>
      </c>
      <c r="E15" s="5">
        <f>'Ведомость объёмов'!H15</f>
        <v/>
      </c>
      <c r="F15" s="5" t="n">
        <v>120000</v>
      </c>
      <c r="G15" s="5" t="n">
        <v>160000</v>
      </c>
      <c r="H15" s="5">
        <f>E15*F15</f>
        <v/>
      </c>
      <c r="I15" s="5">
        <f>E15*G15</f>
        <v/>
      </c>
      <c r="J15" s="5">
        <f>'Ведомость объёмов'!E15*F15</f>
        <v/>
      </c>
      <c r="K15" s="5">
        <f>'Ведомость объёмов'!E15*G15</f>
        <v/>
      </c>
      <c r="L15" s="3" t="inlineStr">
        <is>
          <t>оценка, уточнить КП</t>
        </is>
      </c>
    </row>
    <row r="16">
      <c r="A16" s="3" t="n">
        <v>13</v>
      </c>
      <c r="B16" s="3" t="inlineStr">
        <is>
          <t>3. Грунтоцементные рёбра</t>
        </is>
      </c>
      <c r="C16" s="3" t="inlineStr">
        <is>
          <t>Контроль качества: керн 2 % колонн, лаборатория</t>
        </is>
      </c>
      <c r="D16" s="3" t="inlineStr">
        <is>
          <t>компл.</t>
        </is>
      </c>
      <c r="E16" s="5">
        <f>'Ведомость объёмов'!H16</f>
        <v/>
      </c>
      <c r="F16" s="5" t="n">
        <v>600000</v>
      </c>
      <c r="G16" s="5" t="n">
        <v>900000</v>
      </c>
      <c r="H16" s="5">
        <f>E16*F16</f>
        <v/>
      </c>
      <c r="I16" s="5">
        <f>E16*G16</f>
        <v/>
      </c>
      <c r="J16" s="5">
        <f>'Ведомость объёмов'!E16*F16</f>
        <v/>
      </c>
      <c r="K16" s="5">
        <f>'Ведомость объёмов'!E16*G16</f>
        <v/>
      </c>
      <c r="L16" s="3" t="inlineStr"/>
    </row>
    <row r="17">
      <c r="A17" s="3" t="n">
        <v>14</v>
      </c>
      <c r="B17" s="3" t="inlineStr">
        <is>
          <t>4. Балка</t>
        </is>
      </c>
      <c r="C17" s="3" t="inlineStr">
        <is>
          <t>Обвязочная ж/б балка 1,0×0,6 м B30 (арматура, опалубка)</t>
        </is>
      </c>
      <c r="D17" s="3" t="inlineStr">
        <is>
          <t>м³</t>
        </is>
      </c>
      <c r="E17" s="5">
        <f>'Ведомость объёмов'!H17</f>
        <v/>
      </c>
      <c r="F17" s="5" t="n">
        <v>30000</v>
      </c>
      <c r="G17" s="5" t="n">
        <v>45000</v>
      </c>
      <c r="H17" s="5">
        <f>E17*F17</f>
        <v/>
      </c>
      <c r="I17" s="5">
        <f>E17*G17</f>
        <v/>
      </c>
      <c r="J17" s="5">
        <f>'Ведомость объёмов'!E17*F17</f>
        <v/>
      </c>
      <c r="K17" s="5">
        <f>'Ведомость объёмов'!E17*G17</f>
        <v/>
      </c>
      <c r="L17" s="3" t="inlineStr"/>
    </row>
    <row r="18">
      <c r="A18" s="3" t="n">
        <v>15</v>
      </c>
      <c r="B18" s="3" t="inlineStr">
        <is>
          <t>5. Габионы и крепление</t>
        </is>
      </c>
      <c r="C18" s="3" t="inlineStr">
        <is>
          <t>Габионы коробчатые с камнем, сетка Zn-Al+ПВХ</t>
        </is>
      </c>
      <c r="D18" s="3" t="inlineStr">
        <is>
          <t>м³</t>
        </is>
      </c>
      <c r="E18" s="5">
        <f>'Ведомость объёмов'!H18</f>
        <v/>
      </c>
      <c r="F18" s="5" t="n">
        <v>8000</v>
      </c>
      <c r="G18" s="5" t="n">
        <v>12000</v>
      </c>
      <c r="H18" s="5">
        <f>E18*F18</f>
        <v/>
      </c>
      <c r="I18" s="5">
        <f>E18*G18</f>
        <v/>
      </c>
      <c r="J18" s="5">
        <f>'Ведомость объёмов'!E18*F18</f>
        <v/>
      </c>
      <c r="K18" s="5">
        <f>'Ведомость объёмов'!E18*G18</f>
        <v/>
      </c>
      <c r="L18" s="3" t="inlineStr"/>
    </row>
    <row r="19">
      <c r="A19" s="3" t="n">
        <v>16</v>
      </c>
      <c r="B19" s="3" t="inlineStr">
        <is>
          <t>5. Габионы и крепление</t>
        </is>
      </c>
      <c r="C19" s="3" t="inlineStr">
        <is>
          <t>Матрацы Рено 0,3 м на геотекстиле (вкл. подводную часть, фартук)</t>
        </is>
      </c>
      <c r="D19" s="3" t="inlineStr">
        <is>
          <t>м²</t>
        </is>
      </c>
      <c r="E19" s="5">
        <f>'Ведомость объёмов'!H19</f>
        <v/>
      </c>
      <c r="F19" s="5" t="n">
        <v>2800</v>
      </c>
      <c r="G19" s="5" t="n">
        <v>4500</v>
      </c>
      <c r="H19" s="5">
        <f>E19*F19</f>
        <v/>
      </c>
      <c r="I19" s="5">
        <f>E19*G19</f>
        <v/>
      </c>
      <c r="J19" s="5">
        <f>'Ведомость объёмов'!E19*F19</f>
        <v/>
      </c>
      <c r="K19" s="5">
        <f>'Ведомость объёмов'!E19*G19</f>
        <v/>
      </c>
      <c r="L19" s="3" t="inlineStr"/>
    </row>
    <row r="20">
      <c r="A20" s="3" t="n">
        <v>17</v>
      </c>
      <c r="B20" s="3" t="inlineStr">
        <is>
          <t>5. Габионы и крепление</t>
        </is>
      </c>
      <c r="C20" s="3" t="inlineStr">
        <is>
          <t>Щебёночная подушка, дренирующая засыпка за габионами с дреной Ø110</t>
        </is>
      </c>
      <c r="D20" s="3" t="inlineStr">
        <is>
          <t>п. м</t>
        </is>
      </c>
      <c r="E20" s="5">
        <f>'Ведомость объёмов'!H20</f>
        <v/>
      </c>
      <c r="F20" s="5" t="n">
        <v>4000</v>
      </c>
      <c r="G20" s="5" t="n">
        <v>6500</v>
      </c>
      <c r="H20" s="5">
        <f>E20*F20</f>
        <v/>
      </c>
      <c r="I20" s="5">
        <f>E20*G20</f>
        <v/>
      </c>
      <c r="J20" s="5">
        <f>'Ведомость объёмов'!E20*F20</f>
        <v/>
      </c>
      <c r="K20" s="5">
        <f>'Ведомость объёмов'!E20*G20</f>
        <v/>
      </c>
      <c r="L20" s="3" t="inlineStr"/>
    </row>
    <row r="21">
      <c r="A21" s="3" t="n">
        <v>18</v>
      </c>
      <c r="B21" s="3" t="inlineStr">
        <is>
          <t>6. Дренаж</t>
        </is>
      </c>
      <c r="C21" s="3" t="inlineStr">
        <is>
          <t>Перехватывающий дренаж Д-1 (траншея 3,2 м, щебень, труба Ø160)</t>
        </is>
      </c>
      <c r="D21" s="3" t="inlineStr">
        <is>
          <t>п. м</t>
        </is>
      </c>
      <c r="E21" s="5">
        <f>'Ведомость объёмов'!H21</f>
        <v/>
      </c>
      <c r="F21" s="5" t="n">
        <v>9000</v>
      </c>
      <c r="G21" s="5" t="n">
        <v>15000</v>
      </c>
      <c r="H21" s="5">
        <f>E21*F21</f>
        <v/>
      </c>
      <c r="I21" s="5">
        <f>E21*G21</f>
        <v/>
      </c>
      <c r="J21" s="5">
        <f>'Ведомость объёмов'!E21*F21</f>
        <v/>
      </c>
      <c r="K21" s="5">
        <f>'Ведомость объёмов'!E21*G21</f>
        <v/>
      </c>
      <c r="L21" s="3" t="inlineStr"/>
    </row>
    <row r="22">
      <c r="A22" s="3" t="n">
        <v>19</v>
      </c>
      <c r="B22" s="3" t="inlineStr">
        <is>
          <t>6. Дренаж</t>
        </is>
      </c>
      <c r="C22" s="3" t="inlineStr">
        <is>
          <t>Колодцы ДК Ø1000 полимерные</t>
        </is>
      </c>
      <c r="D22" s="3" t="inlineStr">
        <is>
          <t>шт.</t>
        </is>
      </c>
      <c r="E22" s="5">
        <f>'Ведомость объёмов'!H22</f>
        <v/>
      </c>
      <c r="F22" s="5" t="n">
        <v>90000</v>
      </c>
      <c r="G22" s="5" t="n">
        <v>150000</v>
      </c>
      <c r="H22" s="5">
        <f>E22*F22</f>
        <v/>
      </c>
      <c r="I22" s="5">
        <f>E22*G22</f>
        <v/>
      </c>
      <c r="J22" s="5">
        <f>'Ведомость объёмов'!E22*F22</f>
        <v/>
      </c>
      <c r="K22" s="5">
        <f>'Ведомость объёмов'!E22*G22</f>
        <v/>
      </c>
      <c r="L22" s="3" t="inlineStr"/>
    </row>
    <row r="23">
      <c r="A23" s="3" t="n">
        <v>20</v>
      </c>
      <c r="B23" s="3" t="inlineStr">
        <is>
          <t>6. Дренаж</t>
        </is>
      </c>
      <c r="C23" s="3" t="inlineStr">
        <is>
          <t>Выпуски ПНД Ø160–200 с оголовками</t>
        </is>
      </c>
      <c r="D23" s="3" t="inlineStr">
        <is>
          <t>шт.</t>
        </is>
      </c>
      <c r="E23" s="5">
        <f>'Ведомость объёмов'!H23</f>
        <v/>
      </c>
      <c r="F23" s="5" t="n">
        <v>150000</v>
      </c>
      <c r="G23" s="5" t="n">
        <v>250000</v>
      </c>
      <c r="H23" s="5">
        <f>E23*F23</f>
        <v/>
      </c>
      <c r="I23" s="5">
        <f>E23*G23</f>
        <v/>
      </c>
      <c r="J23" s="5">
        <f>'Ведомость объёмов'!E23*F23</f>
        <v/>
      </c>
      <c r="K23" s="5">
        <f>'Ведомость объёмов'!E23*G23</f>
        <v/>
      </c>
      <c r="L23" s="3" t="inlineStr"/>
    </row>
    <row r="24">
      <c r="A24" s="3" t="n">
        <v>21</v>
      </c>
      <c r="B24" s="3" t="inlineStr">
        <is>
          <t>6. Дренаж</t>
        </is>
      </c>
      <c r="C24" s="3" t="inlineStr">
        <is>
          <t>Горизонтальные дренажные скважины Ø108, L = 15,5 м</t>
        </is>
      </c>
      <c r="D24" s="3" t="inlineStr">
        <is>
          <t>п. м</t>
        </is>
      </c>
      <c r="E24" s="5">
        <f>'Ведомость объёмов'!H24</f>
        <v/>
      </c>
      <c r="F24" s="5" t="n">
        <v>2500</v>
      </c>
      <c r="G24" s="5" t="n">
        <v>4000</v>
      </c>
      <c r="H24" s="5">
        <f>E24*F24</f>
        <v/>
      </c>
      <c r="I24" s="5">
        <f>E24*G24</f>
        <v/>
      </c>
      <c r="J24" s="5">
        <f>'Ведомость объёмов'!E24*F24</f>
        <v/>
      </c>
      <c r="K24" s="5">
        <f>'Ведомость объёмов'!E24*G24</f>
        <v/>
      </c>
      <c r="L24" s="3" t="inlineStr"/>
    </row>
    <row r="25">
      <c r="A25" s="3" t="n">
        <v>22</v>
      </c>
      <c r="B25" s="3" t="inlineStr">
        <is>
          <t>7. Водоотвод</t>
        </is>
      </c>
      <c r="C25" s="3" t="inlineStr">
        <is>
          <t>Лоток DN200 с решётками по бровке, подключение водостоков</t>
        </is>
      </c>
      <c r="D25" s="3" t="inlineStr">
        <is>
          <t>п. м</t>
        </is>
      </c>
      <c r="E25" s="5">
        <f>'Ведомость объёмов'!H25</f>
        <v/>
      </c>
      <c r="F25" s="5" t="n">
        <v>4500</v>
      </c>
      <c r="G25" s="5" t="n">
        <v>7000</v>
      </c>
      <c r="H25" s="5">
        <f>E25*F25</f>
        <v/>
      </c>
      <c r="I25" s="5">
        <f>E25*G25</f>
        <v/>
      </c>
      <c r="J25" s="5">
        <f>'Ведомость объёмов'!E25*F25</f>
        <v/>
      </c>
      <c r="K25" s="5">
        <f>'Ведомость объёмов'!E25*G25</f>
        <v/>
      </c>
      <c r="L25" s="3" t="inlineStr"/>
    </row>
    <row r="26">
      <c r="A26" s="3" t="n">
        <v>23</v>
      </c>
      <c r="B26" s="3" t="inlineStr">
        <is>
          <t>8. Откосы</t>
        </is>
      </c>
      <c r="C26" s="3" t="inlineStr">
        <is>
          <t>Объёмная георешётка h = 150 мм, анкеры, растительный грунт, посев</t>
        </is>
      </c>
      <c r="D26" s="3" t="inlineStr">
        <is>
          <t>м²</t>
        </is>
      </c>
      <c r="E26" s="5">
        <f>'Ведомость объёмов'!H26</f>
        <v/>
      </c>
      <c r="F26" s="5" t="n">
        <v>800</v>
      </c>
      <c r="G26" s="5" t="n">
        <v>1300</v>
      </c>
      <c r="H26" s="5">
        <f>E26*F26</f>
        <v/>
      </c>
      <c r="I26" s="5">
        <f>E26*G26</f>
        <v/>
      </c>
      <c r="J26" s="5">
        <f>'Ведомость объёмов'!E26*F26</f>
        <v/>
      </c>
      <c r="K26" s="5">
        <f>'Ведомость объёмов'!E26*G26</f>
        <v/>
      </c>
      <c r="L26" s="3" t="inlineStr"/>
    </row>
    <row r="27">
      <c r="A27" s="3" t="n">
        <v>24</v>
      </c>
      <c r="B27" s="3" t="inlineStr">
        <is>
          <t>8. Откосы</t>
        </is>
      </c>
      <c r="C27" s="3" t="inlineStr">
        <is>
          <t>Посадка кустарника (ива, кизильник, спирея)</t>
        </is>
      </c>
      <c r="D27" s="3" t="inlineStr">
        <is>
          <t>шт.</t>
        </is>
      </c>
      <c r="E27" s="5">
        <f>'Ведомость объёмов'!H27</f>
        <v/>
      </c>
      <c r="F27" s="5" t="n">
        <v>600</v>
      </c>
      <c r="G27" s="5" t="n">
        <v>1200</v>
      </c>
      <c r="H27" s="5">
        <f>E27*F27</f>
        <v/>
      </c>
      <c r="I27" s="5">
        <f>E27*G27</f>
        <v/>
      </c>
      <c r="J27" s="5">
        <f>'Ведомость объёмов'!E27*F27</f>
        <v/>
      </c>
      <c r="K27" s="5">
        <f>'Ведомость объёмов'!E27*G27</f>
        <v/>
      </c>
      <c r="L27" s="3" t="inlineStr"/>
    </row>
    <row r="28">
      <c r="A28" s="3" t="n">
        <v>25</v>
      </c>
      <c r="B28" s="3" t="inlineStr">
        <is>
          <t>9. Благоустройство</t>
        </is>
      </c>
      <c r="C28" s="3" t="inlineStr">
        <is>
          <t>Лестница металлическая на винтовых сваях с площадками</t>
        </is>
      </c>
      <c r="D28" s="3" t="inlineStr">
        <is>
          <t>компл.</t>
        </is>
      </c>
      <c r="E28" s="5">
        <f>'Ведомость объёмов'!H28</f>
        <v/>
      </c>
      <c r="F28" s="5" t="n">
        <v>1200000</v>
      </c>
      <c r="G28" s="5" t="n">
        <v>2000000</v>
      </c>
      <c r="H28" s="5">
        <f>E28*F28</f>
        <v/>
      </c>
      <c r="I28" s="5">
        <f>E28*G28</f>
        <v/>
      </c>
      <c r="J28" s="5">
        <f>'Ведомость объёмов'!E28*F28</f>
        <v/>
      </c>
      <c r="K28" s="5">
        <f>'Ведомость объёмов'!E28*G28</f>
        <v/>
      </c>
      <c r="L28" s="3" t="inlineStr">
        <is>
          <t>на устойчивость не влияет</t>
        </is>
      </c>
    </row>
    <row r="29">
      <c r="A29" s="3" t="n">
        <v>26</v>
      </c>
      <c r="B29" s="3" t="inlineStr">
        <is>
          <t>10. Мониторинг</t>
        </is>
      </c>
      <c r="C29" s="3" t="inlineStr">
        <is>
          <t>Инклинометрические скважины 22 м</t>
        </is>
      </c>
      <c r="D29" s="3" t="inlineStr">
        <is>
          <t>шт.</t>
        </is>
      </c>
      <c r="E29" s="5">
        <f>'Ведомость объёмов'!H29</f>
        <v/>
      </c>
      <c r="F29" s="5" t="n">
        <v>150000</v>
      </c>
      <c r="G29" s="5" t="n">
        <v>250000</v>
      </c>
      <c r="H29" s="5">
        <f>E29*F29</f>
        <v/>
      </c>
      <c r="I29" s="5">
        <f>E29*G29</f>
        <v/>
      </c>
      <c r="J29" s="5">
        <f>'Ведомость объёмов'!E29*F29</f>
        <v/>
      </c>
      <c r="K29" s="5">
        <f>'Ведомость объёмов'!E29*G29</f>
        <v/>
      </c>
      <c r="L29" s="3" t="inlineStr"/>
    </row>
    <row r="30">
      <c r="A30" s="3" t="n">
        <v>27</v>
      </c>
      <c r="B30" s="3" t="inlineStr">
        <is>
          <t>10. Мониторинг</t>
        </is>
      </c>
      <c r="C30" s="3" t="inlineStr">
        <is>
          <t>Пьезометры</t>
        </is>
      </c>
      <c r="D30" s="3" t="inlineStr">
        <is>
          <t>шт.</t>
        </is>
      </c>
      <c r="E30" s="5">
        <f>'Ведомость объёмов'!H30</f>
        <v/>
      </c>
      <c r="F30" s="5" t="n">
        <v>80000</v>
      </c>
      <c r="G30" s="5" t="n">
        <v>120000</v>
      </c>
      <c r="H30" s="5">
        <f>E30*F30</f>
        <v/>
      </c>
      <c r="I30" s="5">
        <f>E30*G30</f>
        <v/>
      </c>
      <c r="J30" s="5">
        <f>'Ведомость объёмов'!E30*F30</f>
        <v/>
      </c>
      <c r="K30" s="5">
        <f>'Ведомость объёмов'!E30*G30</f>
        <v/>
      </c>
      <c r="L30" s="3" t="inlineStr"/>
    </row>
    <row r="31">
      <c r="A31" s="3" t="n">
        <v>28</v>
      </c>
      <c r="B31" s="3" t="inlineStr">
        <is>
          <t>10. Мониторинг</t>
        </is>
      </c>
      <c r="C31" s="3" t="inlineStr">
        <is>
          <t>Наблюдения и отчёты (строительство + 2 года)</t>
        </is>
      </c>
      <c r="D31" s="3" t="inlineStr">
        <is>
          <t>компл.</t>
        </is>
      </c>
      <c r="E31" s="5">
        <f>'Ведомость объёмов'!H31</f>
        <v/>
      </c>
      <c r="F31" s="5" t="n">
        <v>1000000</v>
      </c>
      <c r="G31" s="5" t="n">
        <v>1800000</v>
      </c>
      <c r="H31" s="5">
        <f>E31*F31</f>
        <v/>
      </c>
      <c r="I31" s="5">
        <f>E31*G31</f>
        <v/>
      </c>
      <c r="J31" s="5">
        <f>'Ведомость объёмов'!E31*F31</f>
        <v/>
      </c>
      <c r="K31" s="5">
        <f>'Ведомость объёмов'!E31*G31</f>
        <v/>
      </c>
      <c r="L31" s="3" t="inlineStr"/>
    </row>
    <row r="32">
      <c r="C32" s="6" t="inlineStr">
        <is>
          <t>Итого</t>
        </is>
      </c>
      <c r="H32" s="7">
        <f>SUM(H4:H31)</f>
        <v/>
      </c>
      <c r="I32" s="7">
        <f>SUM(I4:I31)</f>
        <v/>
      </c>
      <c r="J32" s="7">
        <f>SUM(J4:J31)</f>
        <v/>
      </c>
      <c r="K32" s="7">
        <f>SUM(K4:K31)</f>
        <v/>
      </c>
    </row>
    <row r="33">
      <c r="C33" t="inlineStr">
        <is>
          <t>Непредвиденные работы и затраты, 10 %</t>
        </is>
      </c>
      <c r="H33" s="7">
        <f>H32*0.1</f>
        <v/>
      </c>
      <c r="I33" s="7">
        <f>I32*0.1</f>
        <v/>
      </c>
      <c r="J33" s="7">
        <f>J32*0.1</f>
        <v/>
      </c>
      <c r="K33" s="7">
        <f>K32*0.1</f>
        <v/>
      </c>
    </row>
    <row r="34">
      <c r="C34" s="1" t="inlineStr">
        <is>
          <t>ВСЕГО без НДС</t>
        </is>
      </c>
      <c r="H34" s="8">
        <f>H32+H33</f>
        <v/>
      </c>
      <c r="I34" s="8">
        <f>I32+I33</f>
        <v/>
      </c>
      <c r="J34" s="8">
        <f>J32+J33</f>
        <v/>
      </c>
      <c r="K34" s="8">
        <f>K32+K33</f>
        <v/>
      </c>
    </row>
    <row r="35">
      <c r="C35" t="inlineStr">
        <is>
          <t>НДС — по ставке, действующей на дату договора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Рекомендуемая очерёдность финансирования (млн руб. без НДС, с непредвиденными 10 %, ориентировочно)</t>
        </is>
      </c>
    </row>
    <row r="3">
      <c r="A3" t="inlineStr">
        <is>
          <t>Этап</t>
        </is>
      </c>
      <c r="B3" t="inlineStr">
        <is>
          <t>Состав</t>
        </is>
      </c>
      <c r="C3" t="inlineStr">
        <is>
          <t>Мин</t>
        </is>
      </c>
      <c r="D3" t="inlineStr">
        <is>
          <t>Макс</t>
        </is>
      </c>
    </row>
    <row r="4">
      <c r="A4" t="inlineStr">
        <is>
          <t>Этап 0 + 1 (зона I, ≈ 42 м)</t>
        </is>
      </c>
      <c r="B4" t="inlineStr">
        <is>
          <t>Противоаварийные меры, доизыскания, РД, разрешения; демонтаж, дренаж, ГЦК зоны I, балка, габионы, Рено, откосы, лестница, мониторинг</t>
        </is>
      </c>
      <c r="C4" t="n">
        <v>43.3</v>
      </c>
      <c r="D4" t="n">
        <v>69.7</v>
      </c>
    </row>
    <row r="5">
      <c r="A5" t="inlineStr">
        <is>
          <t>Этап 2 (зоны II–III, ≈ 57 м)</t>
        </is>
      </c>
      <c r="B5" t="inlineStr">
        <is>
          <t>После доизысканий и 1 года мониторинга; возможна оптимизация ГЦК на 30–50 %</t>
        </is>
      </c>
      <c r="C5" t="n">
        <v>44.3</v>
      </c>
      <c r="D5" t="n">
        <v>69.59999999999999</v>
      </c>
    </row>
    <row r="6">
      <c r="A6" t="inlineStr">
        <is>
          <t>Всего</t>
        </is>
      </c>
      <c r="B6" t="inlineStr"/>
      <c r="C6" t="n">
        <v>87.59999999999999</v>
      </c>
      <c r="D6" t="n">
        <v>139.3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width="8" customWidth="1" min="3" max="3"/>
    <col width="8" customWidth="1" min="4" max="4"/>
    <col width="40" customWidth="1" min="5" max="5"/>
    <col width="50" customWidth="1" min="6" max="6"/>
  </cols>
  <sheetData>
    <row r="1">
      <c r="A1" s="1" t="inlineStr">
        <is>
          <t>Варианты по бюджету (ориентировочно, млн руб. без НДС, с непредвиденными)</t>
        </is>
      </c>
    </row>
    <row r="3">
      <c r="A3" t="inlineStr">
        <is>
          <t>Вариант</t>
        </is>
      </c>
      <c r="B3" t="inlineStr">
        <is>
          <t>Состав</t>
        </is>
      </c>
      <c r="C3" t="inlineStr">
        <is>
          <t>Мин</t>
        </is>
      </c>
      <c r="D3" t="inlineStr">
        <is>
          <t>Макс</t>
        </is>
      </c>
      <c r="E3" t="inlineStr">
        <is>
          <t>Запас устойчивости</t>
        </is>
      </c>
      <c r="F3" t="inlineStr">
        <is>
          <t>Что остаётся</t>
        </is>
      </c>
    </row>
    <row r="4">
      <c r="A4" t="inlineStr">
        <is>
          <t>D0. Первоочередное (план 2026-МОС40-ПМ)</t>
        </is>
      </c>
      <c r="B4" t="inlineStr">
        <is>
          <t>отвод воды с крыш и двора (коллектор и закрытый выпуск), разборка аварийной площадки, ограждение на винтовых сваях, реперы, марки, маяки, наблюдательные скважины; стоимость — по плану 2026-МОС40-ПМ</t>
        </is>
      </c>
      <c r="C4" t="n">
        <v>0.8</v>
      </c>
      <c r="D4" t="n">
        <v>1.4</v>
      </c>
      <c r="E4" t="inlineStr">
        <is>
          <t>весной ориентировочно не опускается до 0,87–0,97</t>
        </is>
      </c>
      <c r="F4" t="inlineStr">
        <is>
          <t>склон остаётся аварийным (ниже нормы 1,15)</t>
        </is>
      </c>
    </row>
    <row r="5">
      <c r="A5" t="inlineStr">
        <is>
          <t>D. Неотложный этап: вода + данные</t>
        </is>
      </c>
      <c r="B5" t="inlineStr">
        <is>
          <t>первоочередное + доизыскания, перехватывающий дренаж вдоль двора, датчики сдвига и уровня воды, наблюдения 2 года</t>
        </is>
      </c>
      <c r="C5" t="n">
        <v>7.9</v>
      </c>
      <c r="D5" t="n">
        <v>13.6</v>
      </c>
      <c r="E5" t="inlineStr">
        <is>
          <t>весной запас не опускается до 0,87–0,97, остаётся ≈ 0,93–1,01</t>
        </is>
      </c>
      <c r="F5" t="inlineStr">
        <is>
          <t>ниже нормы 1,15; зато появляются данные для уменьшения объёма рёбер</t>
        </is>
      </c>
    </row>
    <row r="6">
      <c r="A6" t="inlineStr">
        <is>
          <t>C. Без подземных рёбер (вариант 1 ПЗ)</t>
        </is>
      </c>
      <c r="B6" t="inlineStr">
        <is>
          <t>неотложный этап + разборка стен, срезка и берма, горизонтальные дрены, габионы и матрацы у воды, откосы</t>
        </is>
      </c>
      <c r="C6" t="n">
        <v>25.1</v>
      </c>
      <c r="D6" t="n">
        <v>41.4</v>
      </c>
      <c r="E6" t="inlineStr">
        <is>
          <t>1,00–1,05</t>
        </is>
      </c>
      <c r="F6" t="inlineStr">
        <is>
          <t>ниже нормы 1,15: риск оползня снижается, но не устраняется</t>
        </is>
      </c>
    </row>
    <row r="7">
      <c r="A7" t="inlineStr">
        <is>
          <t>B. Первая очередь: участок у дома ≈ 42 м</t>
        </is>
      </c>
      <c r="B7" t="inlineStr">
        <is>
          <t>полный набор работ только на аварийном участке (разрезы А-А и Г-Г)</t>
        </is>
      </c>
      <c r="C7" t="n">
        <v>43.3</v>
      </c>
      <c r="D7" t="n">
        <v>69.7</v>
      </c>
      <c r="E7" t="inlineStr">
        <is>
          <t>1,25–1,27 на участке у дома</t>
        </is>
      </c>
      <c r="F7" t="inlineStr">
        <is>
          <t>участки II–III (≈ 57 м) остаются с запасом 1,00–1,01</t>
        </is>
      </c>
    </row>
    <row r="8">
      <c r="A8" t="inlineStr">
        <is>
          <t>A. Полная защита всего склона ≈ 100 м</t>
        </is>
      </c>
      <c r="B8" t="inlineStr">
        <is>
          <t>все работы проекта по всему фронту</t>
        </is>
      </c>
      <c r="C8" t="n">
        <v>87.59999999999999</v>
      </c>
      <c r="D8" t="n">
        <v>139.3</v>
      </c>
      <c r="E8" t="inlineStr">
        <is>
          <t>1,25–1,31 (при землетрясении 7 баллов 1,09–1,13)</t>
        </is>
      </c>
      <c r="F8" t="inlineStr">
        <is>
          <t>норма выполняется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2026-10-25T19:22:52Z</dcterms:created>
  <dcterms:modified xsi:type="dcterms:W3CDTF">2026-10-25T19:22:52Z</dcterms:modified>
</cp:coreProperties>
</file>